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Identitas" sheetId="2" state="visible" r:id="rId2"/>
    <sheet xmlns:r="http://schemas.openxmlformats.org/officeDocument/2006/relationships" name="Nilai" sheetId="3" state="visible" r:id="rId3"/>
    <sheet xmlns:r="http://schemas.openxmlformats.org/officeDocument/2006/relationships" name="Rapor" sheetId="4" state="visible" r:id="rId4"/>
  </sheets>
  <definedNames>
    <definedName name="_xlnm.Print_Area" localSheetId="3">'Rapor'!$A$5:$E$42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5B3F"/>
      <sz val="16"/>
    </font>
    <font>
      <name val="Arial"/>
      <i val="1"/>
      <color rgb="00000000"/>
      <sz val="10"/>
    </font>
    <font>
      <name val="Arial"/>
      <color rgb="00000000"/>
      <sz val="10"/>
    </font>
    <font>
      <name val="Arial"/>
      <b val="1"/>
      <color rgb="001F5B3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1F5B3F"/>
      <sz val="10"/>
    </font>
    <font>
      <name val="Arial"/>
      <color rgb="000563C1"/>
      <sz val="10"/>
    </font>
    <font>
      <name val="Arial"/>
      <b val="1"/>
      <color rgb="001F5B3F"/>
      <sz val="14"/>
    </font>
    <font>
      <name val="Arial"/>
      <b val="1"/>
      <color rgb="001F5B3F"/>
      <sz val="12"/>
    </font>
    <font>
      <name val="Arial"/>
      <b val="1"/>
      <color rgb="00FFFFFF"/>
      <sz val="9"/>
    </font>
    <font>
      <name val="Arial"/>
      <b val="1"/>
      <color rgb="000000FF"/>
      <sz val="12"/>
    </font>
    <font>
      <name val="Arial"/>
      <i val="1"/>
      <color rgb="00777777"/>
      <sz val="8"/>
    </font>
    <font>
      <name val="Arial"/>
      <b val="1"/>
      <color rgb="001F5B3F"/>
      <sz val="15"/>
    </font>
    <font>
      <name val="Arial"/>
      <color rgb="00555555"/>
      <sz val="9"/>
    </font>
    <font>
      <name val="Arial"/>
      <b val="1"/>
      <color rgb="00000000"/>
      <sz val="12"/>
    </font>
    <font>
      <name val="Arial"/>
      <i val="1"/>
      <color rgb="00888888"/>
      <sz val="7"/>
    </font>
  </fonts>
  <fills count="5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1F5B3F"/>
      </patternFill>
    </fill>
    <fill>
      <patternFill patternType="solid">
        <fgColor rgb="00F7F3E8"/>
      </patternFill>
    </fill>
  </fills>
  <borders count="5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  <border>
      <left/>
      <right/>
      <top style="thin">
        <color rgb="00B8B0A0"/>
      </top>
      <bottom/>
      <diagonal/>
    </border>
    <border>
      <left/>
      <right style="thin">
        <color rgb="00B8B0A0"/>
      </right>
      <top style="thin">
        <color rgb="00B8B0A0"/>
      </top>
      <bottom/>
      <diagonal/>
    </border>
    <border>
      <left/>
      <right style="thin">
        <color rgb="00B8B0A0"/>
      </right>
      <top style="thin">
        <color rgb="00B8B0A0"/>
      </top>
      <bottom style="thin">
        <color rgb="00B8B0A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3" fillId="0" borderId="1" pivotButton="0" quotePrefix="0" xfId="0"/>
    <xf numFmtId="0" fontId="5" fillId="3" borderId="0" pivotButton="0" quotePrefix="0" xfId="0"/>
    <xf numFmtId="0" fontId="6" fillId="0" borderId="1" pivotButton="0" quotePrefix="0" xfId="0"/>
    <xf numFmtId="0" fontId="7" fillId="2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7" fillId="2" borderId="1" applyAlignment="1" pivotButton="0" quotePrefix="0" xfId="0">
      <alignment vertical="top" wrapText="1"/>
    </xf>
    <xf numFmtId="0" fontId="6" fillId="0" borderId="0" applyAlignment="1" pivotButton="0" quotePrefix="0" xfId="0">
      <alignment horizontal="right"/>
    </xf>
    <xf numFmtId="0" fontId="13" fillId="2" borderId="1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0" fillId="4" borderId="1" pivotButton="0" quotePrefix="0" xfId="0"/>
    <xf numFmtId="0" fontId="3" fillId="0" borderId="1" applyAlignment="1" pivotButton="0" quotePrefix="0" xfId="0">
      <alignment vertical="top" wrapText="1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SantriOnline</author>
  </authors>
  <commentList>
    <comment ref="C17" authorId="0" shapeId="0">
      <text>
        <t>Ambang umum yang banyak dipakai lembaga tahfidz di Indonesia (Mumtaz 90–100, Jayyid Jiddan 80–89, Jayyid 70–79). Bukan standar resmi Kemenag — sesuaikan dengan pedoman TPQ Anda.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ntrionline.com/aplikasi-raport-tpq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60" customWidth="1" min="4" max="4"/>
  </cols>
  <sheetData>
    <row r="2">
      <c r="B2" s="1" t="inlineStr">
        <is>
          <t>Templat Raport TPQ — gratis dari SantriOnline</t>
        </is>
      </c>
    </row>
    <row r="3">
      <c r="B3" s="2" t="inlineStr">
        <is>
          <t>Boleh dipakai, diubah, dan dibagikan untuk TPQ mana pun. Tanpa makro, tanpa kata sandi.</t>
        </is>
      </c>
    </row>
    <row r="5">
      <c r="B5" s="3" t="inlineStr">
        <is>
          <t>1. Isi lembar "Identitas": nama TPQ, semester, tahun ajaran, nama kepala TPQ dan wali kelas.</t>
        </is>
      </c>
    </row>
    <row r="6">
      <c r="B6" s="3" t="inlineStr">
        <is>
          <t>2. Isi lembar "Nilai": satu baris satu santri. Nilai 0–100. Rata-rata dan predikat terisi sendiri.</t>
        </is>
      </c>
    </row>
    <row r="7">
      <c r="B7" s="3" t="inlineStr">
        <is>
          <t>3. Buka lembar "Rapor", ketik nomor urut santri di sel kuning C3, lalu cetak (A4, tegak).</t>
        </is>
      </c>
    </row>
    <row r="8">
      <c r="B8" s="3" t="inlineStr">
        <is>
          <t>4. Ulangi langkah 3 untuk santri berikutnya. Tidak perlu mengetik ulang apa pun.</t>
        </is>
      </c>
    </row>
    <row r="9">
      <c r="B9" s="3" t="inlineStr">
        <is>
          <t>Baris contoh (No. 1, "Ahmad Fauzan") boleh dihapus atau ditimpa.</t>
        </is>
      </c>
    </row>
    <row r="11">
      <c r="B11" s="4" t="inlineStr">
        <is>
          <t>Arti warna</t>
        </is>
      </c>
    </row>
    <row r="12">
      <c r="B12" s="5" t="inlineStr">
        <is>
          <t>Sel kuning</t>
        </is>
      </c>
      <c r="D12" s="3" t="inlineStr">
        <is>
          <t>Diisi guru/pengurus.</t>
        </is>
      </c>
    </row>
    <row r="13">
      <c r="B13" s="6" t="inlineStr">
        <is>
          <t>Sel putih/hijau</t>
        </is>
      </c>
      <c r="D13" s="3" t="inlineStr">
        <is>
          <t>Rumus otomatis — jangan diketik manual.</t>
        </is>
      </c>
    </row>
    <row r="15">
      <c r="B15" s="4" t="inlineStr">
        <is>
          <t>Ambang predikat (boleh diubah sesuai kebijakan TPQ)</t>
        </is>
      </c>
    </row>
    <row r="16">
      <c r="B16" s="7" t="inlineStr">
        <is>
          <t>Predikat</t>
        </is>
      </c>
      <c r="C16" s="7" t="inlineStr">
        <is>
          <t>Nilai minimal</t>
        </is>
      </c>
      <c r="D16" s="7" t="inlineStr">
        <is>
          <t>Keterangan</t>
        </is>
      </c>
    </row>
    <row r="17">
      <c r="B17" s="8" t="inlineStr">
        <is>
          <t>Mumtaz</t>
        </is>
      </c>
      <c r="C17" s="9" t="n">
        <v>90</v>
      </c>
      <c r="D17" s="6" t="inlineStr">
        <is>
          <t>Istimewa — lancar, hampir tanpa kesalahan.</t>
        </is>
      </c>
    </row>
    <row r="18">
      <c r="B18" s="8" t="inlineStr">
        <is>
          <t>Jayyid Jiddan</t>
        </is>
      </c>
      <c r="C18" s="9" t="n">
        <v>80</v>
      </c>
      <c r="D18" s="6" t="inlineStr">
        <is>
          <t>Sangat baik.</t>
        </is>
      </c>
    </row>
    <row r="19">
      <c r="B19" s="8" t="inlineStr">
        <is>
          <t>Jayyid</t>
        </is>
      </c>
      <c r="C19" s="9" t="n">
        <v>70</v>
      </c>
      <c r="D19" s="6" t="inlineStr">
        <is>
          <t>Baik.</t>
        </is>
      </c>
    </row>
    <row r="20">
      <c r="B20" s="8" t="inlineStr">
        <is>
          <t>Maqbul</t>
        </is>
      </c>
      <c r="C20" s="9" t="n">
        <v>60</v>
      </c>
      <c r="D20" s="6" t="inlineStr">
        <is>
          <t>Cukup — perlu penguatan.</t>
        </is>
      </c>
    </row>
    <row r="21">
      <c r="B21" s="8" t="inlineStr">
        <is>
          <t>Perlu bimbingan</t>
        </is>
      </c>
      <c r="C21" s="9" t="n">
        <v>0</v>
      </c>
      <c r="D21" s="6" t="inlineStr">
        <is>
          <t>Belum mencapai batas cukup; ulangi bersama guru.</t>
        </is>
      </c>
    </row>
    <row r="23">
      <c r="B23" s="10" t="inlineStr">
        <is>
          <t>Ingin rapor tersusun sendiri dari catatan setoran harian, dan bisa dilihat wali dari HP?</t>
        </is>
      </c>
    </row>
    <row r="24">
      <c r="B24" s="11" t="inlineStr">
        <is>
          <t>Coba aplikasi SantriOnline untuk TPQ (gratis): https://santrionline.com/aplikasi-raport-tpq</t>
        </is>
      </c>
    </row>
  </sheetData>
  <hyperlinks>
    <hyperlink xmlns:r="http://schemas.openxmlformats.org/officeDocument/2006/relationships" ref="B24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</cols>
  <sheetData>
    <row r="2">
      <c r="B2" s="12" t="inlineStr">
        <is>
          <t>Identitas TPQ &amp; Semester</t>
        </is>
      </c>
    </row>
    <row r="4">
      <c r="B4" s="13" t="inlineStr">
        <is>
          <t>Nama TPQ</t>
        </is>
      </c>
      <c r="C4" s="9" t="inlineStr">
        <is>
          <t>TPQ Al-Hidayah</t>
        </is>
      </c>
    </row>
    <row r="5">
      <c r="B5" s="13" t="inlineStr">
        <is>
          <t>Alamat</t>
        </is>
      </c>
      <c r="C5" s="9" t="inlineStr">
        <is>
          <t>Jl. Masjid No. 1, Desa ...</t>
        </is>
      </c>
    </row>
    <row r="6">
      <c r="B6" s="13" t="inlineStr">
        <is>
          <t>Semester</t>
        </is>
      </c>
      <c r="C6" s="9" t="inlineStr">
        <is>
          <t>Ganjil</t>
        </is>
      </c>
    </row>
    <row r="7">
      <c r="B7" s="13" t="inlineStr">
        <is>
          <t>Tahun ajaran</t>
        </is>
      </c>
      <c r="C7" s="9" t="inlineStr">
        <is>
          <t>2026/2027</t>
        </is>
      </c>
    </row>
    <row r="8">
      <c r="B8" s="13" t="inlineStr">
        <is>
          <t>Kepala TPQ</t>
        </is>
      </c>
      <c r="C8" s="9" t="inlineStr">
        <is>
          <t>Ust. ...</t>
        </is>
      </c>
    </row>
    <row r="9">
      <c r="B9" s="13" t="inlineStr">
        <is>
          <t>Wali kelas / ustadz</t>
        </is>
      </c>
      <c r="C9" s="9" t="inlineStr">
        <is>
          <t>Ust. ...</t>
        </is>
      </c>
    </row>
    <row r="10">
      <c r="B10" s="13" t="inlineStr">
        <is>
          <t>Tempat &amp; tanggal rapor</t>
        </is>
      </c>
      <c r="C10" s="9" t="inlineStr">
        <is>
          <t>Batu, 20 Desember 2026</t>
        </is>
      </c>
    </row>
  </sheetData>
  <dataValidations count="1">
    <dataValidation sqref="C6" showDropDown="0" showInputMessage="0" showErrorMessage="0" allowBlank="1" type="list">
      <formula1>"Ganjil,Genap"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2" customWidth="1" min="4" max="4"/>
    <col width="12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5" customWidth="1" min="13" max="13"/>
    <col width="7" customWidth="1" min="14" max="14"/>
    <col width="7" customWidth="1" min="15" max="15"/>
    <col width="7" customWidth="1" min="16" max="16"/>
    <col width="9" customWidth="1" min="17" max="17"/>
    <col width="40" customWidth="1" min="18" max="18"/>
  </cols>
  <sheetData>
    <row r="1">
      <c r="A1" s="14" t="inlineStr">
        <is>
          <t>Nilai santri — isi sel kuning; kolom Rata-rata &amp; Predikat otomatis</t>
        </is>
      </c>
    </row>
    <row r="3" ht="44" customHeight="1">
      <c r="A3" s="15" t="inlineStr">
        <is>
          <t>No</t>
        </is>
      </c>
      <c r="B3" s="15" t="inlineStr">
        <is>
          <t>Nama santri</t>
        </is>
      </c>
      <c r="C3" s="15" t="inlineStr">
        <is>
          <t>NIS</t>
        </is>
      </c>
      <c r="D3" s="15" t="inlineStr">
        <is>
          <t>Jilid / kelas</t>
        </is>
      </c>
      <c r="E3" s="15" t="inlineStr">
        <is>
          <t>Kelancaran membaca (tartil)</t>
        </is>
      </c>
      <c r="F3" s="15" t="inlineStr">
        <is>
          <t>Tajwid</t>
        </is>
      </c>
      <c r="G3" s="15" t="inlineStr">
        <is>
          <t>Makharijul huruf</t>
        </is>
      </c>
      <c r="H3" s="15" t="inlineStr">
        <is>
          <t>Hafalan surat pendek</t>
        </is>
      </c>
      <c r="I3" s="15" t="inlineStr">
        <is>
          <t>Hafalan doa harian</t>
        </is>
      </c>
      <c r="J3" s="15" t="inlineStr">
        <is>
          <t>Praktik wudhu &amp; shalat</t>
        </is>
      </c>
      <c r="K3" s="15" t="inlineStr">
        <is>
          <t>Menulis huruf Arab</t>
        </is>
      </c>
      <c r="L3" s="15" t="inlineStr">
        <is>
          <t>Rata-rata</t>
        </is>
      </c>
      <c r="M3" s="15" t="inlineStr">
        <is>
          <t>Predikat</t>
        </is>
      </c>
      <c r="N3" s="15" t="inlineStr">
        <is>
          <t>Sakit</t>
        </is>
      </c>
      <c r="O3" s="15" t="inlineStr">
        <is>
          <t>Izin</t>
        </is>
      </c>
      <c r="P3" s="15" t="inlineStr">
        <is>
          <t>Alpa</t>
        </is>
      </c>
      <c r="Q3" s="15" t="inlineStr">
        <is>
          <t>Adab (A/B/C)</t>
        </is>
      </c>
      <c r="R3" s="15" t="inlineStr">
        <is>
          <t>Catatan ustadz</t>
        </is>
      </c>
    </row>
    <row r="4">
      <c r="A4" s="16" t="n">
        <v>1</v>
      </c>
      <c r="B4" s="9" t="inlineStr">
        <is>
          <t>Ahmad Fauzan</t>
        </is>
      </c>
      <c r="C4" s="9" t="inlineStr">
        <is>
          <t>2026-001</t>
        </is>
      </c>
      <c r="D4" s="9" t="inlineStr">
        <is>
          <t>Jilid 4</t>
        </is>
      </c>
      <c r="E4" s="9" t="n">
        <v>85</v>
      </c>
      <c r="F4" s="9" t="n">
        <v>80</v>
      </c>
      <c r="G4" s="9" t="n">
        <v>82</v>
      </c>
      <c r="H4" s="9" t="n">
        <v>90</v>
      </c>
      <c r="I4" s="9" t="n">
        <v>88</v>
      </c>
      <c r="J4" s="9" t="n">
        <v>86</v>
      </c>
      <c r="K4" s="9" t="n">
        <v>78</v>
      </c>
      <c r="L4" s="6">
        <f>IF(COUNT(E4:K4)=0,"",ROUND(AVERAGE(E4:K4),1))</f>
        <v/>
      </c>
      <c r="M4" s="6">
        <f>IF(L4="","",IF(L4&gt;=Petunjuk!$C$17,Petunjuk!$B$17,IF(L4&gt;=Petunjuk!$C$18,Petunjuk!$B$18,IF(L4&gt;=Petunjuk!$C$19,Petunjuk!$B$19,IF(L4&gt;=Petunjuk!$C$20,Petunjuk!$B$20,Petunjuk!$B$21)))))</f>
        <v/>
      </c>
      <c r="N4" s="9" t="n">
        <v>1</v>
      </c>
      <c r="O4" s="9" t="n">
        <v>0</v>
      </c>
      <c r="P4" s="9" t="n">
        <v>0</v>
      </c>
      <c r="Q4" s="9" t="inlineStr">
        <is>
          <t>A</t>
        </is>
      </c>
      <c r="R4" s="17" t="inlineStr">
        <is>
          <t>Bacaan sudah lancar; perhatikan panjang mad thabi'i.</t>
        </is>
      </c>
    </row>
    <row r="5">
      <c r="A5" s="16" t="n">
        <v>2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6">
        <f>IF(COUNT(E5:K5)=0,"",ROUND(AVERAGE(E5:K5),1))</f>
        <v/>
      </c>
      <c r="M5" s="6">
        <f>IF(L5="","",IF(L5&gt;=Petunjuk!$C$17,Petunjuk!$B$17,IF(L5&gt;=Petunjuk!$C$18,Petunjuk!$B$18,IF(L5&gt;=Petunjuk!$C$19,Petunjuk!$B$19,IF(L5&gt;=Petunjuk!$C$20,Petunjuk!$B$20,Petunjuk!$B$21)))))</f>
        <v/>
      </c>
      <c r="N5" s="9" t="n"/>
      <c r="O5" s="9" t="n"/>
      <c r="P5" s="9" t="n"/>
      <c r="Q5" s="9" t="n"/>
      <c r="R5" s="17" t="n"/>
    </row>
    <row r="6">
      <c r="A6" s="16" t="n">
        <v>3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6">
        <f>IF(COUNT(E6:K6)=0,"",ROUND(AVERAGE(E6:K6),1))</f>
        <v/>
      </c>
      <c r="M6" s="6">
        <f>IF(L6="","",IF(L6&gt;=Petunjuk!$C$17,Petunjuk!$B$17,IF(L6&gt;=Petunjuk!$C$18,Petunjuk!$B$18,IF(L6&gt;=Petunjuk!$C$19,Petunjuk!$B$19,IF(L6&gt;=Petunjuk!$C$20,Petunjuk!$B$20,Petunjuk!$B$21)))))</f>
        <v/>
      </c>
      <c r="N6" s="9" t="n"/>
      <c r="O6" s="9" t="n"/>
      <c r="P6" s="9" t="n"/>
      <c r="Q6" s="9" t="n"/>
      <c r="R6" s="17" t="n"/>
    </row>
    <row r="7">
      <c r="A7" s="16" t="n">
        <v>4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6">
        <f>IF(COUNT(E7:K7)=0,"",ROUND(AVERAGE(E7:K7),1))</f>
        <v/>
      </c>
      <c r="M7" s="6">
        <f>IF(L7="","",IF(L7&gt;=Petunjuk!$C$17,Petunjuk!$B$17,IF(L7&gt;=Petunjuk!$C$18,Petunjuk!$B$18,IF(L7&gt;=Petunjuk!$C$19,Petunjuk!$B$19,IF(L7&gt;=Petunjuk!$C$20,Petunjuk!$B$20,Petunjuk!$B$21)))))</f>
        <v/>
      </c>
      <c r="N7" s="9" t="n"/>
      <c r="O7" s="9" t="n"/>
      <c r="P7" s="9" t="n"/>
      <c r="Q7" s="9" t="n"/>
      <c r="R7" s="17" t="n"/>
    </row>
    <row r="8">
      <c r="A8" s="16" t="n">
        <v>5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6">
        <f>IF(COUNT(E8:K8)=0,"",ROUND(AVERAGE(E8:K8),1))</f>
        <v/>
      </c>
      <c r="M8" s="6">
        <f>IF(L8="","",IF(L8&gt;=Petunjuk!$C$17,Petunjuk!$B$17,IF(L8&gt;=Petunjuk!$C$18,Petunjuk!$B$18,IF(L8&gt;=Petunjuk!$C$19,Petunjuk!$B$19,IF(L8&gt;=Petunjuk!$C$20,Petunjuk!$B$20,Petunjuk!$B$21)))))</f>
        <v/>
      </c>
      <c r="N8" s="9" t="n"/>
      <c r="O8" s="9" t="n"/>
      <c r="P8" s="9" t="n"/>
      <c r="Q8" s="9" t="n"/>
      <c r="R8" s="17" t="n"/>
    </row>
    <row r="9">
      <c r="A9" s="16" t="n">
        <v>6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6">
        <f>IF(COUNT(E9:K9)=0,"",ROUND(AVERAGE(E9:K9),1))</f>
        <v/>
      </c>
      <c r="M9" s="6">
        <f>IF(L9="","",IF(L9&gt;=Petunjuk!$C$17,Petunjuk!$B$17,IF(L9&gt;=Petunjuk!$C$18,Petunjuk!$B$18,IF(L9&gt;=Petunjuk!$C$19,Petunjuk!$B$19,IF(L9&gt;=Petunjuk!$C$20,Petunjuk!$B$20,Petunjuk!$B$21)))))</f>
        <v/>
      </c>
      <c r="N9" s="9" t="n"/>
      <c r="O9" s="9" t="n"/>
      <c r="P9" s="9" t="n"/>
      <c r="Q9" s="9" t="n"/>
      <c r="R9" s="17" t="n"/>
    </row>
    <row r="10">
      <c r="A10" s="16" t="n">
        <v>7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6">
        <f>IF(COUNT(E10:K10)=0,"",ROUND(AVERAGE(E10:K10),1))</f>
        <v/>
      </c>
      <c r="M10" s="6">
        <f>IF(L10="","",IF(L10&gt;=Petunjuk!$C$17,Petunjuk!$B$17,IF(L10&gt;=Petunjuk!$C$18,Petunjuk!$B$18,IF(L10&gt;=Petunjuk!$C$19,Petunjuk!$B$19,IF(L10&gt;=Petunjuk!$C$20,Petunjuk!$B$20,Petunjuk!$B$21)))))</f>
        <v/>
      </c>
      <c r="N10" s="9" t="n"/>
      <c r="O10" s="9" t="n"/>
      <c r="P10" s="9" t="n"/>
      <c r="Q10" s="9" t="n"/>
      <c r="R10" s="17" t="n"/>
    </row>
    <row r="11">
      <c r="A11" s="16" t="n">
        <v>8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6">
        <f>IF(COUNT(E11:K11)=0,"",ROUND(AVERAGE(E11:K11),1))</f>
        <v/>
      </c>
      <c r="M11" s="6">
        <f>IF(L11="","",IF(L11&gt;=Petunjuk!$C$17,Petunjuk!$B$17,IF(L11&gt;=Petunjuk!$C$18,Petunjuk!$B$18,IF(L11&gt;=Petunjuk!$C$19,Petunjuk!$B$19,IF(L11&gt;=Petunjuk!$C$20,Petunjuk!$B$20,Petunjuk!$B$21)))))</f>
        <v/>
      </c>
      <c r="N11" s="9" t="n"/>
      <c r="O11" s="9" t="n"/>
      <c r="P11" s="9" t="n"/>
      <c r="Q11" s="9" t="n"/>
      <c r="R11" s="17" t="n"/>
    </row>
    <row r="12">
      <c r="A12" s="16" t="n">
        <v>9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6">
        <f>IF(COUNT(E12:K12)=0,"",ROUND(AVERAGE(E12:K12),1))</f>
        <v/>
      </c>
      <c r="M12" s="6">
        <f>IF(L12="","",IF(L12&gt;=Petunjuk!$C$17,Petunjuk!$B$17,IF(L12&gt;=Petunjuk!$C$18,Petunjuk!$B$18,IF(L12&gt;=Petunjuk!$C$19,Petunjuk!$B$19,IF(L12&gt;=Petunjuk!$C$20,Petunjuk!$B$20,Petunjuk!$B$21)))))</f>
        <v/>
      </c>
      <c r="N12" s="9" t="n"/>
      <c r="O12" s="9" t="n"/>
      <c r="P12" s="9" t="n"/>
      <c r="Q12" s="9" t="n"/>
      <c r="R12" s="17" t="n"/>
    </row>
    <row r="13">
      <c r="A13" s="16" t="n">
        <v>10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6">
        <f>IF(COUNT(E13:K13)=0,"",ROUND(AVERAGE(E13:K13),1))</f>
        <v/>
      </c>
      <c r="M13" s="6">
        <f>IF(L13="","",IF(L13&gt;=Petunjuk!$C$17,Petunjuk!$B$17,IF(L13&gt;=Petunjuk!$C$18,Petunjuk!$B$18,IF(L13&gt;=Petunjuk!$C$19,Petunjuk!$B$19,IF(L13&gt;=Petunjuk!$C$20,Petunjuk!$B$20,Petunjuk!$B$21)))))</f>
        <v/>
      </c>
      <c r="N13" s="9" t="n"/>
      <c r="O13" s="9" t="n"/>
      <c r="P13" s="9" t="n"/>
      <c r="Q13" s="9" t="n"/>
      <c r="R13" s="17" t="n"/>
    </row>
    <row r="14">
      <c r="A14" s="16" t="n">
        <v>11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6">
        <f>IF(COUNT(E14:K14)=0,"",ROUND(AVERAGE(E14:K14),1))</f>
        <v/>
      </c>
      <c r="M14" s="6">
        <f>IF(L14="","",IF(L14&gt;=Petunjuk!$C$17,Petunjuk!$B$17,IF(L14&gt;=Petunjuk!$C$18,Petunjuk!$B$18,IF(L14&gt;=Petunjuk!$C$19,Petunjuk!$B$19,IF(L14&gt;=Petunjuk!$C$20,Petunjuk!$B$20,Petunjuk!$B$21)))))</f>
        <v/>
      </c>
      <c r="N14" s="9" t="n"/>
      <c r="O14" s="9" t="n"/>
      <c r="P14" s="9" t="n"/>
      <c r="Q14" s="9" t="n"/>
      <c r="R14" s="17" t="n"/>
    </row>
    <row r="15">
      <c r="A15" s="16" t="n">
        <v>12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6">
        <f>IF(COUNT(E15:K15)=0,"",ROUND(AVERAGE(E15:K15),1))</f>
        <v/>
      </c>
      <c r="M15" s="6">
        <f>IF(L15="","",IF(L15&gt;=Petunjuk!$C$17,Petunjuk!$B$17,IF(L15&gt;=Petunjuk!$C$18,Petunjuk!$B$18,IF(L15&gt;=Petunjuk!$C$19,Petunjuk!$B$19,IF(L15&gt;=Petunjuk!$C$20,Petunjuk!$B$20,Petunjuk!$B$21)))))</f>
        <v/>
      </c>
      <c r="N15" s="9" t="n"/>
      <c r="O15" s="9" t="n"/>
      <c r="P15" s="9" t="n"/>
      <c r="Q15" s="9" t="n"/>
      <c r="R15" s="17" t="n"/>
    </row>
    <row r="16">
      <c r="A16" s="16" t="n">
        <v>13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6">
        <f>IF(COUNT(E16:K16)=0,"",ROUND(AVERAGE(E16:K16),1))</f>
        <v/>
      </c>
      <c r="M16" s="6">
        <f>IF(L16="","",IF(L16&gt;=Petunjuk!$C$17,Petunjuk!$B$17,IF(L16&gt;=Petunjuk!$C$18,Petunjuk!$B$18,IF(L16&gt;=Petunjuk!$C$19,Petunjuk!$B$19,IF(L16&gt;=Petunjuk!$C$20,Petunjuk!$B$20,Petunjuk!$B$21)))))</f>
        <v/>
      </c>
      <c r="N16" s="9" t="n"/>
      <c r="O16" s="9" t="n"/>
      <c r="P16" s="9" t="n"/>
      <c r="Q16" s="9" t="n"/>
      <c r="R16" s="17" t="n"/>
    </row>
    <row r="17">
      <c r="A17" s="16" t="n">
        <v>14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6">
        <f>IF(COUNT(E17:K17)=0,"",ROUND(AVERAGE(E17:K17),1))</f>
        <v/>
      </c>
      <c r="M17" s="6">
        <f>IF(L17="","",IF(L17&gt;=Petunjuk!$C$17,Petunjuk!$B$17,IF(L17&gt;=Petunjuk!$C$18,Petunjuk!$B$18,IF(L17&gt;=Petunjuk!$C$19,Petunjuk!$B$19,IF(L17&gt;=Petunjuk!$C$20,Petunjuk!$B$20,Petunjuk!$B$21)))))</f>
        <v/>
      </c>
      <c r="N17" s="9" t="n"/>
      <c r="O17" s="9" t="n"/>
      <c r="P17" s="9" t="n"/>
      <c r="Q17" s="9" t="n"/>
      <c r="R17" s="17" t="n"/>
    </row>
    <row r="18">
      <c r="A18" s="16" t="n">
        <v>15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6">
        <f>IF(COUNT(E18:K18)=0,"",ROUND(AVERAGE(E18:K18),1))</f>
        <v/>
      </c>
      <c r="M18" s="6">
        <f>IF(L18="","",IF(L18&gt;=Petunjuk!$C$17,Petunjuk!$B$17,IF(L18&gt;=Petunjuk!$C$18,Petunjuk!$B$18,IF(L18&gt;=Petunjuk!$C$19,Petunjuk!$B$19,IF(L18&gt;=Petunjuk!$C$20,Petunjuk!$B$20,Petunjuk!$B$21)))))</f>
        <v/>
      </c>
      <c r="N18" s="9" t="n"/>
      <c r="O18" s="9" t="n"/>
      <c r="P18" s="9" t="n"/>
      <c r="Q18" s="9" t="n"/>
      <c r="R18" s="17" t="n"/>
    </row>
    <row r="19">
      <c r="A19" s="16" t="n">
        <v>16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6">
        <f>IF(COUNT(E19:K19)=0,"",ROUND(AVERAGE(E19:K19),1))</f>
        <v/>
      </c>
      <c r="M19" s="6">
        <f>IF(L19="","",IF(L19&gt;=Petunjuk!$C$17,Petunjuk!$B$17,IF(L19&gt;=Petunjuk!$C$18,Petunjuk!$B$18,IF(L19&gt;=Petunjuk!$C$19,Petunjuk!$B$19,IF(L19&gt;=Petunjuk!$C$20,Petunjuk!$B$20,Petunjuk!$B$21)))))</f>
        <v/>
      </c>
      <c r="N19" s="9" t="n"/>
      <c r="O19" s="9" t="n"/>
      <c r="P19" s="9" t="n"/>
      <c r="Q19" s="9" t="n"/>
      <c r="R19" s="17" t="n"/>
    </row>
    <row r="20">
      <c r="A20" s="16" t="n">
        <v>17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6">
        <f>IF(COUNT(E20:K20)=0,"",ROUND(AVERAGE(E20:K20),1))</f>
        <v/>
      </c>
      <c r="M20" s="6">
        <f>IF(L20="","",IF(L20&gt;=Petunjuk!$C$17,Petunjuk!$B$17,IF(L20&gt;=Petunjuk!$C$18,Petunjuk!$B$18,IF(L20&gt;=Petunjuk!$C$19,Petunjuk!$B$19,IF(L20&gt;=Petunjuk!$C$20,Petunjuk!$B$20,Petunjuk!$B$21)))))</f>
        <v/>
      </c>
      <c r="N20" s="9" t="n"/>
      <c r="O20" s="9" t="n"/>
      <c r="P20" s="9" t="n"/>
      <c r="Q20" s="9" t="n"/>
      <c r="R20" s="17" t="n"/>
    </row>
    <row r="21">
      <c r="A21" s="16" t="n">
        <v>18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6">
        <f>IF(COUNT(E21:K21)=0,"",ROUND(AVERAGE(E21:K21),1))</f>
        <v/>
      </c>
      <c r="M21" s="6">
        <f>IF(L21="","",IF(L21&gt;=Petunjuk!$C$17,Petunjuk!$B$17,IF(L21&gt;=Petunjuk!$C$18,Petunjuk!$B$18,IF(L21&gt;=Petunjuk!$C$19,Petunjuk!$B$19,IF(L21&gt;=Petunjuk!$C$20,Petunjuk!$B$20,Petunjuk!$B$21)))))</f>
        <v/>
      </c>
      <c r="N21" s="9" t="n"/>
      <c r="O21" s="9" t="n"/>
      <c r="P21" s="9" t="n"/>
      <c r="Q21" s="9" t="n"/>
      <c r="R21" s="17" t="n"/>
    </row>
    <row r="22">
      <c r="A22" s="16" t="n">
        <v>19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6">
        <f>IF(COUNT(E22:K22)=0,"",ROUND(AVERAGE(E22:K22),1))</f>
        <v/>
      </c>
      <c r="M22" s="6">
        <f>IF(L22="","",IF(L22&gt;=Petunjuk!$C$17,Petunjuk!$B$17,IF(L22&gt;=Petunjuk!$C$18,Petunjuk!$B$18,IF(L22&gt;=Petunjuk!$C$19,Petunjuk!$B$19,IF(L22&gt;=Petunjuk!$C$20,Petunjuk!$B$20,Petunjuk!$B$21)))))</f>
        <v/>
      </c>
      <c r="N22" s="9" t="n"/>
      <c r="O22" s="9" t="n"/>
      <c r="P22" s="9" t="n"/>
      <c r="Q22" s="9" t="n"/>
      <c r="R22" s="17" t="n"/>
    </row>
    <row r="23">
      <c r="A23" s="16" t="n">
        <v>20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6">
        <f>IF(COUNT(E23:K23)=0,"",ROUND(AVERAGE(E23:K23),1))</f>
        <v/>
      </c>
      <c r="M23" s="6">
        <f>IF(L23="","",IF(L23&gt;=Petunjuk!$C$17,Petunjuk!$B$17,IF(L23&gt;=Petunjuk!$C$18,Petunjuk!$B$18,IF(L23&gt;=Petunjuk!$C$19,Petunjuk!$B$19,IF(L23&gt;=Petunjuk!$C$20,Petunjuk!$B$20,Petunjuk!$B$21)))))</f>
        <v/>
      </c>
      <c r="N23" s="9" t="n"/>
      <c r="O23" s="9" t="n"/>
      <c r="P23" s="9" t="n"/>
      <c r="Q23" s="9" t="n"/>
      <c r="R23" s="17" t="n"/>
    </row>
    <row r="24">
      <c r="A24" s="16" t="n">
        <v>21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6">
        <f>IF(COUNT(E24:K24)=0,"",ROUND(AVERAGE(E24:K24),1))</f>
        <v/>
      </c>
      <c r="M24" s="6">
        <f>IF(L24="","",IF(L24&gt;=Petunjuk!$C$17,Petunjuk!$B$17,IF(L24&gt;=Petunjuk!$C$18,Petunjuk!$B$18,IF(L24&gt;=Petunjuk!$C$19,Petunjuk!$B$19,IF(L24&gt;=Petunjuk!$C$20,Petunjuk!$B$20,Petunjuk!$B$21)))))</f>
        <v/>
      </c>
      <c r="N24" s="9" t="n"/>
      <c r="O24" s="9" t="n"/>
      <c r="P24" s="9" t="n"/>
      <c r="Q24" s="9" t="n"/>
      <c r="R24" s="17" t="n"/>
    </row>
    <row r="25">
      <c r="A25" s="16" t="n">
        <v>22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6">
        <f>IF(COUNT(E25:K25)=0,"",ROUND(AVERAGE(E25:K25),1))</f>
        <v/>
      </c>
      <c r="M25" s="6">
        <f>IF(L25="","",IF(L25&gt;=Petunjuk!$C$17,Petunjuk!$B$17,IF(L25&gt;=Petunjuk!$C$18,Petunjuk!$B$18,IF(L25&gt;=Petunjuk!$C$19,Petunjuk!$B$19,IF(L25&gt;=Petunjuk!$C$20,Petunjuk!$B$20,Petunjuk!$B$21)))))</f>
        <v/>
      </c>
      <c r="N25" s="9" t="n"/>
      <c r="O25" s="9" t="n"/>
      <c r="P25" s="9" t="n"/>
      <c r="Q25" s="9" t="n"/>
      <c r="R25" s="17" t="n"/>
    </row>
    <row r="26">
      <c r="A26" s="16" t="n">
        <v>23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6">
        <f>IF(COUNT(E26:K26)=0,"",ROUND(AVERAGE(E26:K26),1))</f>
        <v/>
      </c>
      <c r="M26" s="6">
        <f>IF(L26="","",IF(L26&gt;=Petunjuk!$C$17,Petunjuk!$B$17,IF(L26&gt;=Petunjuk!$C$18,Petunjuk!$B$18,IF(L26&gt;=Petunjuk!$C$19,Petunjuk!$B$19,IF(L26&gt;=Petunjuk!$C$20,Petunjuk!$B$20,Petunjuk!$B$21)))))</f>
        <v/>
      </c>
      <c r="N26" s="9" t="n"/>
      <c r="O26" s="9" t="n"/>
      <c r="P26" s="9" t="n"/>
      <c r="Q26" s="9" t="n"/>
      <c r="R26" s="17" t="n"/>
    </row>
    <row r="27">
      <c r="A27" s="16" t="n">
        <v>24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6">
        <f>IF(COUNT(E27:K27)=0,"",ROUND(AVERAGE(E27:K27),1))</f>
        <v/>
      </c>
      <c r="M27" s="6">
        <f>IF(L27="","",IF(L27&gt;=Petunjuk!$C$17,Petunjuk!$B$17,IF(L27&gt;=Petunjuk!$C$18,Petunjuk!$B$18,IF(L27&gt;=Petunjuk!$C$19,Petunjuk!$B$19,IF(L27&gt;=Petunjuk!$C$20,Petunjuk!$B$20,Petunjuk!$B$21)))))</f>
        <v/>
      </c>
      <c r="N27" s="9" t="n"/>
      <c r="O27" s="9" t="n"/>
      <c r="P27" s="9" t="n"/>
      <c r="Q27" s="9" t="n"/>
      <c r="R27" s="17" t="n"/>
    </row>
    <row r="28">
      <c r="A28" s="16" t="n">
        <v>25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6">
        <f>IF(COUNT(E28:K28)=0,"",ROUND(AVERAGE(E28:K28),1))</f>
        <v/>
      </c>
      <c r="M28" s="6">
        <f>IF(L28="","",IF(L28&gt;=Petunjuk!$C$17,Petunjuk!$B$17,IF(L28&gt;=Petunjuk!$C$18,Petunjuk!$B$18,IF(L28&gt;=Petunjuk!$C$19,Petunjuk!$B$19,IF(L28&gt;=Petunjuk!$C$20,Petunjuk!$B$20,Petunjuk!$B$21)))))</f>
        <v/>
      </c>
      <c r="N28" s="9" t="n"/>
      <c r="O28" s="9" t="n"/>
      <c r="P28" s="9" t="n"/>
      <c r="Q28" s="9" t="n"/>
      <c r="R28" s="17" t="n"/>
    </row>
    <row r="29">
      <c r="A29" s="16" t="n">
        <v>26</v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6">
        <f>IF(COUNT(E29:K29)=0,"",ROUND(AVERAGE(E29:K29),1))</f>
        <v/>
      </c>
      <c r="M29" s="6">
        <f>IF(L29="","",IF(L29&gt;=Petunjuk!$C$17,Petunjuk!$B$17,IF(L29&gt;=Petunjuk!$C$18,Petunjuk!$B$18,IF(L29&gt;=Petunjuk!$C$19,Petunjuk!$B$19,IF(L29&gt;=Petunjuk!$C$20,Petunjuk!$B$20,Petunjuk!$B$21)))))</f>
        <v/>
      </c>
      <c r="N29" s="9" t="n"/>
      <c r="O29" s="9" t="n"/>
      <c r="P29" s="9" t="n"/>
      <c r="Q29" s="9" t="n"/>
      <c r="R29" s="17" t="n"/>
    </row>
    <row r="30">
      <c r="A30" s="16" t="n">
        <v>27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6">
        <f>IF(COUNT(E30:K30)=0,"",ROUND(AVERAGE(E30:K30),1))</f>
        <v/>
      </c>
      <c r="M30" s="6">
        <f>IF(L30="","",IF(L30&gt;=Petunjuk!$C$17,Petunjuk!$B$17,IF(L30&gt;=Petunjuk!$C$18,Petunjuk!$B$18,IF(L30&gt;=Petunjuk!$C$19,Petunjuk!$B$19,IF(L30&gt;=Petunjuk!$C$20,Petunjuk!$B$20,Petunjuk!$B$21)))))</f>
        <v/>
      </c>
      <c r="N30" s="9" t="n"/>
      <c r="O30" s="9" t="n"/>
      <c r="P30" s="9" t="n"/>
      <c r="Q30" s="9" t="n"/>
      <c r="R30" s="17" t="n"/>
    </row>
    <row r="31">
      <c r="A31" s="16" t="n">
        <v>28</v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6">
        <f>IF(COUNT(E31:K31)=0,"",ROUND(AVERAGE(E31:K31),1))</f>
        <v/>
      </c>
      <c r="M31" s="6">
        <f>IF(L31="","",IF(L31&gt;=Petunjuk!$C$17,Petunjuk!$B$17,IF(L31&gt;=Petunjuk!$C$18,Petunjuk!$B$18,IF(L31&gt;=Petunjuk!$C$19,Petunjuk!$B$19,IF(L31&gt;=Petunjuk!$C$20,Petunjuk!$B$20,Petunjuk!$B$21)))))</f>
        <v/>
      </c>
      <c r="N31" s="9" t="n"/>
      <c r="O31" s="9" t="n"/>
      <c r="P31" s="9" t="n"/>
      <c r="Q31" s="9" t="n"/>
      <c r="R31" s="17" t="n"/>
    </row>
    <row r="32">
      <c r="A32" s="16" t="n">
        <v>29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6">
        <f>IF(COUNT(E32:K32)=0,"",ROUND(AVERAGE(E32:K32),1))</f>
        <v/>
      </c>
      <c r="M32" s="6">
        <f>IF(L32="","",IF(L32&gt;=Petunjuk!$C$17,Petunjuk!$B$17,IF(L32&gt;=Petunjuk!$C$18,Petunjuk!$B$18,IF(L32&gt;=Petunjuk!$C$19,Petunjuk!$B$19,IF(L32&gt;=Petunjuk!$C$20,Petunjuk!$B$20,Petunjuk!$B$21)))))</f>
        <v/>
      </c>
      <c r="N32" s="9" t="n"/>
      <c r="O32" s="9" t="n"/>
      <c r="P32" s="9" t="n"/>
      <c r="Q32" s="9" t="n"/>
      <c r="R32" s="17" t="n"/>
    </row>
    <row r="33">
      <c r="A33" s="16" t="n">
        <v>30</v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6">
        <f>IF(COUNT(E33:K33)=0,"",ROUND(AVERAGE(E33:K33),1))</f>
        <v/>
      </c>
      <c r="M33" s="6">
        <f>IF(L33="","",IF(L33&gt;=Petunjuk!$C$17,Petunjuk!$B$17,IF(L33&gt;=Petunjuk!$C$18,Petunjuk!$B$18,IF(L33&gt;=Petunjuk!$C$19,Petunjuk!$B$19,IF(L33&gt;=Petunjuk!$C$20,Petunjuk!$B$20,Petunjuk!$B$21)))))</f>
        <v/>
      </c>
      <c r="N33" s="9" t="n"/>
      <c r="O33" s="9" t="n"/>
      <c r="P33" s="9" t="n"/>
      <c r="Q33" s="9" t="n"/>
      <c r="R33" s="17" t="n"/>
    </row>
    <row r="34">
      <c r="A34" s="16" t="n">
        <v>31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6">
        <f>IF(COUNT(E34:K34)=0,"",ROUND(AVERAGE(E34:K34),1))</f>
        <v/>
      </c>
      <c r="M34" s="6">
        <f>IF(L34="","",IF(L34&gt;=Petunjuk!$C$17,Petunjuk!$B$17,IF(L34&gt;=Petunjuk!$C$18,Petunjuk!$B$18,IF(L34&gt;=Petunjuk!$C$19,Petunjuk!$B$19,IF(L34&gt;=Petunjuk!$C$20,Petunjuk!$B$20,Petunjuk!$B$21)))))</f>
        <v/>
      </c>
      <c r="N34" s="9" t="n"/>
      <c r="O34" s="9" t="n"/>
      <c r="P34" s="9" t="n"/>
      <c r="Q34" s="9" t="n"/>
      <c r="R34" s="17" t="n"/>
    </row>
    <row r="35">
      <c r="A35" s="16" t="n">
        <v>32</v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6">
        <f>IF(COUNT(E35:K35)=0,"",ROUND(AVERAGE(E35:K35),1))</f>
        <v/>
      </c>
      <c r="M35" s="6">
        <f>IF(L35="","",IF(L35&gt;=Petunjuk!$C$17,Petunjuk!$B$17,IF(L35&gt;=Petunjuk!$C$18,Petunjuk!$B$18,IF(L35&gt;=Petunjuk!$C$19,Petunjuk!$B$19,IF(L35&gt;=Petunjuk!$C$20,Petunjuk!$B$20,Petunjuk!$B$21)))))</f>
        <v/>
      </c>
      <c r="N35" s="9" t="n"/>
      <c r="O35" s="9" t="n"/>
      <c r="P35" s="9" t="n"/>
      <c r="Q35" s="9" t="n"/>
      <c r="R35" s="17" t="n"/>
    </row>
    <row r="36">
      <c r="A36" s="16" t="n">
        <v>33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6">
        <f>IF(COUNT(E36:K36)=0,"",ROUND(AVERAGE(E36:K36),1))</f>
        <v/>
      </c>
      <c r="M36" s="6">
        <f>IF(L36="","",IF(L36&gt;=Petunjuk!$C$17,Petunjuk!$B$17,IF(L36&gt;=Petunjuk!$C$18,Petunjuk!$B$18,IF(L36&gt;=Petunjuk!$C$19,Petunjuk!$B$19,IF(L36&gt;=Petunjuk!$C$20,Petunjuk!$B$20,Petunjuk!$B$21)))))</f>
        <v/>
      </c>
      <c r="N36" s="9" t="n"/>
      <c r="O36" s="9" t="n"/>
      <c r="P36" s="9" t="n"/>
      <c r="Q36" s="9" t="n"/>
      <c r="R36" s="17" t="n"/>
    </row>
    <row r="37">
      <c r="A37" s="16" t="n">
        <v>34</v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6">
        <f>IF(COUNT(E37:K37)=0,"",ROUND(AVERAGE(E37:K37),1))</f>
        <v/>
      </c>
      <c r="M37" s="6">
        <f>IF(L37="","",IF(L37&gt;=Petunjuk!$C$17,Petunjuk!$B$17,IF(L37&gt;=Petunjuk!$C$18,Petunjuk!$B$18,IF(L37&gt;=Petunjuk!$C$19,Petunjuk!$B$19,IF(L37&gt;=Petunjuk!$C$20,Petunjuk!$B$20,Petunjuk!$B$21)))))</f>
        <v/>
      </c>
      <c r="N37" s="9" t="n"/>
      <c r="O37" s="9" t="n"/>
      <c r="P37" s="9" t="n"/>
      <c r="Q37" s="9" t="n"/>
      <c r="R37" s="17" t="n"/>
    </row>
    <row r="38">
      <c r="A38" s="16" t="n">
        <v>35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6">
        <f>IF(COUNT(E38:K38)=0,"",ROUND(AVERAGE(E38:K38),1))</f>
        <v/>
      </c>
      <c r="M38" s="6">
        <f>IF(L38="","",IF(L38&gt;=Petunjuk!$C$17,Petunjuk!$B$17,IF(L38&gt;=Petunjuk!$C$18,Petunjuk!$B$18,IF(L38&gt;=Petunjuk!$C$19,Petunjuk!$B$19,IF(L38&gt;=Petunjuk!$C$20,Petunjuk!$B$20,Petunjuk!$B$21)))))</f>
        <v/>
      </c>
      <c r="N38" s="9" t="n"/>
      <c r="O38" s="9" t="n"/>
      <c r="P38" s="9" t="n"/>
      <c r="Q38" s="9" t="n"/>
      <c r="R38" s="17" t="n"/>
    </row>
    <row r="39">
      <c r="A39" s="16" t="n">
        <v>36</v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6">
        <f>IF(COUNT(E39:K39)=0,"",ROUND(AVERAGE(E39:K39),1))</f>
        <v/>
      </c>
      <c r="M39" s="6">
        <f>IF(L39="","",IF(L39&gt;=Petunjuk!$C$17,Petunjuk!$B$17,IF(L39&gt;=Petunjuk!$C$18,Petunjuk!$B$18,IF(L39&gt;=Petunjuk!$C$19,Petunjuk!$B$19,IF(L39&gt;=Petunjuk!$C$20,Petunjuk!$B$20,Petunjuk!$B$21)))))</f>
        <v/>
      </c>
      <c r="N39" s="9" t="n"/>
      <c r="O39" s="9" t="n"/>
      <c r="P39" s="9" t="n"/>
      <c r="Q39" s="9" t="n"/>
      <c r="R39" s="17" t="n"/>
    </row>
    <row r="40">
      <c r="A40" s="16" t="n">
        <v>37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6">
        <f>IF(COUNT(E40:K40)=0,"",ROUND(AVERAGE(E40:K40),1))</f>
        <v/>
      </c>
      <c r="M40" s="6">
        <f>IF(L40="","",IF(L40&gt;=Petunjuk!$C$17,Petunjuk!$B$17,IF(L40&gt;=Petunjuk!$C$18,Petunjuk!$B$18,IF(L40&gt;=Petunjuk!$C$19,Petunjuk!$B$19,IF(L40&gt;=Petunjuk!$C$20,Petunjuk!$B$20,Petunjuk!$B$21)))))</f>
        <v/>
      </c>
      <c r="N40" s="9" t="n"/>
      <c r="O40" s="9" t="n"/>
      <c r="P40" s="9" t="n"/>
      <c r="Q40" s="9" t="n"/>
      <c r="R40" s="17" t="n"/>
    </row>
    <row r="41">
      <c r="A41" s="16" t="n">
        <v>38</v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6">
        <f>IF(COUNT(E41:K41)=0,"",ROUND(AVERAGE(E41:K41),1))</f>
        <v/>
      </c>
      <c r="M41" s="6">
        <f>IF(L41="","",IF(L41&gt;=Petunjuk!$C$17,Petunjuk!$B$17,IF(L41&gt;=Petunjuk!$C$18,Petunjuk!$B$18,IF(L41&gt;=Petunjuk!$C$19,Petunjuk!$B$19,IF(L41&gt;=Petunjuk!$C$20,Petunjuk!$B$20,Petunjuk!$B$21)))))</f>
        <v/>
      </c>
      <c r="N41" s="9" t="n"/>
      <c r="O41" s="9" t="n"/>
      <c r="P41" s="9" t="n"/>
      <c r="Q41" s="9" t="n"/>
      <c r="R41" s="17" t="n"/>
    </row>
    <row r="42">
      <c r="A42" s="16" t="n">
        <v>39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6">
        <f>IF(COUNT(E42:K42)=0,"",ROUND(AVERAGE(E42:K42),1))</f>
        <v/>
      </c>
      <c r="M42" s="6">
        <f>IF(L42="","",IF(L42&gt;=Petunjuk!$C$17,Petunjuk!$B$17,IF(L42&gt;=Petunjuk!$C$18,Petunjuk!$B$18,IF(L42&gt;=Petunjuk!$C$19,Petunjuk!$B$19,IF(L42&gt;=Petunjuk!$C$20,Petunjuk!$B$20,Petunjuk!$B$21)))))</f>
        <v/>
      </c>
      <c r="N42" s="9" t="n"/>
      <c r="O42" s="9" t="n"/>
      <c r="P42" s="9" t="n"/>
      <c r="Q42" s="9" t="n"/>
      <c r="R42" s="17" t="n"/>
    </row>
    <row r="43">
      <c r="A43" s="16" t="n">
        <v>40</v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6">
        <f>IF(COUNT(E43:K43)=0,"",ROUND(AVERAGE(E43:K43),1))</f>
        <v/>
      </c>
      <c r="M43" s="6">
        <f>IF(L43="","",IF(L43&gt;=Petunjuk!$C$17,Petunjuk!$B$17,IF(L43&gt;=Petunjuk!$C$18,Petunjuk!$B$18,IF(L43&gt;=Petunjuk!$C$19,Petunjuk!$B$19,IF(L43&gt;=Petunjuk!$C$20,Petunjuk!$B$20,Petunjuk!$B$21)))))</f>
        <v/>
      </c>
      <c r="N43" s="9" t="n"/>
      <c r="O43" s="9" t="n"/>
      <c r="P43" s="9" t="n"/>
      <c r="Q43" s="9" t="n"/>
      <c r="R43" s="17" t="n"/>
    </row>
  </sheetData>
  <dataValidations count="2">
    <dataValidation sqref="E4:K43" showDropDown="0" showInputMessage="0" showErrorMessage="0" allowBlank="1" errorTitle="Nilai tidak valid" error="Nilai 0–100" type="decimal" operator="between">
      <formula1>0</formula1>
      <formula2>100</formula2>
    </dataValidation>
    <dataValidation sqref="Q4:Q43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3:E42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8" customWidth="1" min="4" max="4"/>
    <col width="22" customWidth="1" min="5" max="5"/>
  </cols>
  <sheetData>
    <row r="3">
      <c r="B3" s="18" t="inlineStr">
        <is>
          <t>Nomor urut santri →</t>
        </is>
      </c>
      <c r="C3" s="19" t="n">
        <v>1</v>
      </c>
      <c r="D3" s="20" t="inlineStr">
        <is>
          <t>(ketik nomor dari lembar Nilai, lalu cetak)</t>
        </is>
      </c>
    </row>
    <row r="5">
      <c r="B5" s="21">
        <f>UPPER(Identitas!$C$4)</f>
        <v/>
      </c>
    </row>
    <row r="6">
      <c r="B6" s="22">
        <f>Identitas!$C$5</f>
        <v/>
      </c>
    </row>
    <row r="7">
      <c r="B7" s="23" t="inlineStr">
        <is>
          <t>LAPORAN HASIL BELAJAR SANTRI</t>
        </is>
      </c>
    </row>
    <row r="9">
      <c r="B9" s="3" t="inlineStr">
        <is>
          <t>Nama santri</t>
        </is>
      </c>
      <c r="C9" s="13">
        <f>IFERROR(INDEX(Nilai!$A$4:$R$43,MATCH($C$3,Nilai!$A$4:$A$43,0),2)&amp;"","")</f>
        <v/>
      </c>
    </row>
    <row r="10">
      <c r="B10" s="3" t="inlineStr">
        <is>
          <t>NIS</t>
        </is>
      </c>
      <c r="C10" s="13">
        <f>IFERROR(INDEX(Nilai!$A$4:$R$43,MATCH($C$3,Nilai!$A$4:$A$43,0),3)&amp;"","")</f>
        <v/>
      </c>
    </row>
    <row r="11">
      <c r="B11" s="3" t="inlineStr">
        <is>
          <t>Jilid / kelas</t>
        </is>
      </c>
      <c r="C11" s="13">
        <f>IFERROR(INDEX(Nilai!$A$4:$R$43,MATCH($C$3,Nilai!$A$4:$A$43,0),4)&amp;"","")</f>
        <v/>
      </c>
    </row>
    <row r="12">
      <c r="B12" s="3" t="inlineStr">
        <is>
          <t>Semester / tahun ajaran</t>
        </is>
      </c>
      <c r="C12" s="13">
        <f>Identitas!$C$6&amp;" / "&amp;Identitas!$C$7</f>
        <v/>
      </c>
    </row>
    <row r="14">
      <c r="B14" s="24" t="inlineStr">
        <is>
          <t>Aspek yang dinilai</t>
        </is>
      </c>
      <c r="C14" s="24" t="inlineStr">
        <is>
          <t>Nilai</t>
        </is>
      </c>
      <c r="D14" s="24" t="inlineStr">
        <is>
          <t>Predikat</t>
        </is>
      </c>
      <c r="E14" s="25" t="n"/>
    </row>
    <row r="15">
      <c r="B15" s="6" t="inlineStr">
        <is>
          <t>Kelancaran membaca (tartil)</t>
        </is>
      </c>
      <c r="C15" s="16">
        <f>IFERROR(IF(INDEX(Nilai!$A$4:$R$43,MATCH($C$3,Nilai!$A$4:$A$43,0),5)="","",INDEX(Nilai!$A$4:$R$43,MATCH($C$3,Nilai!$A$4:$A$43,0),5)),"")</f>
        <v/>
      </c>
      <c r="D15" s="6">
        <f>IF(C15="","",IF(C15&gt;=Petunjuk!$C$17,Petunjuk!$B$17,IF(C15&gt;=Petunjuk!$C$18,Petunjuk!$B$18,IF(C15&gt;=Petunjuk!$C$19,Petunjuk!$B$19,IF(C15&gt;=Petunjuk!$C$20,Petunjuk!$B$20,Petunjuk!$B$21)))))</f>
        <v/>
      </c>
      <c r="E15" s="26" t="n"/>
    </row>
    <row r="16">
      <c r="B16" s="6" t="inlineStr">
        <is>
          <t>Tajwid</t>
        </is>
      </c>
      <c r="C16" s="16">
        <f>IFERROR(IF(INDEX(Nilai!$A$4:$R$43,MATCH($C$3,Nilai!$A$4:$A$43,0),6)="","",INDEX(Nilai!$A$4:$R$43,MATCH($C$3,Nilai!$A$4:$A$43,0),6)),"")</f>
        <v/>
      </c>
      <c r="D16" s="6">
        <f>IF(C16="","",IF(C16&gt;=Petunjuk!$C$17,Petunjuk!$B$17,IF(C16&gt;=Petunjuk!$C$18,Petunjuk!$B$18,IF(C16&gt;=Petunjuk!$C$19,Petunjuk!$B$19,IF(C16&gt;=Petunjuk!$C$20,Petunjuk!$B$20,Petunjuk!$B$21)))))</f>
        <v/>
      </c>
      <c r="E16" s="26" t="n"/>
    </row>
    <row r="17">
      <c r="B17" s="6" t="inlineStr">
        <is>
          <t>Makharijul huruf</t>
        </is>
      </c>
      <c r="C17" s="16">
        <f>IFERROR(IF(INDEX(Nilai!$A$4:$R$43,MATCH($C$3,Nilai!$A$4:$A$43,0),7)="","",INDEX(Nilai!$A$4:$R$43,MATCH($C$3,Nilai!$A$4:$A$43,0),7)),"")</f>
        <v/>
      </c>
      <c r="D17" s="6">
        <f>IF(C17="","",IF(C17&gt;=Petunjuk!$C$17,Petunjuk!$B$17,IF(C17&gt;=Petunjuk!$C$18,Petunjuk!$B$18,IF(C17&gt;=Petunjuk!$C$19,Petunjuk!$B$19,IF(C17&gt;=Petunjuk!$C$20,Petunjuk!$B$20,Petunjuk!$B$21)))))</f>
        <v/>
      </c>
      <c r="E17" s="26" t="n"/>
    </row>
    <row r="18">
      <c r="B18" s="6" t="inlineStr">
        <is>
          <t>Hafalan surat pendek</t>
        </is>
      </c>
      <c r="C18" s="16">
        <f>IFERROR(IF(INDEX(Nilai!$A$4:$R$43,MATCH($C$3,Nilai!$A$4:$A$43,0),8)="","",INDEX(Nilai!$A$4:$R$43,MATCH($C$3,Nilai!$A$4:$A$43,0),8)),"")</f>
        <v/>
      </c>
      <c r="D18" s="6">
        <f>IF(C18="","",IF(C18&gt;=Petunjuk!$C$17,Petunjuk!$B$17,IF(C18&gt;=Petunjuk!$C$18,Petunjuk!$B$18,IF(C18&gt;=Petunjuk!$C$19,Petunjuk!$B$19,IF(C18&gt;=Petunjuk!$C$20,Petunjuk!$B$20,Petunjuk!$B$21)))))</f>
        <v/>
      </c>
      <c r="E18" s="26" t="n"/>
    </row>
    <row r="19">
      <c r="B19" s="6" t="inlineStr">
        <is>
          <t>Hafalan doa harian</t>
        </is>
      </c>
      <c r="C19" s="16">
        <f>IFERROR(IF(INDEX(Nilai!$A$4:$R$43,MATCH($C$3,Nilai!$A$4:$A$43,0),9)="","",INDEX(Nilai!$A$4:$R$43,MATCH($C$3,Nilai!$A$4:$A$43,0),9)),"")</f>
        <v/>
      </c>
      <c r="D19" s="6">
        <f>IF(C19="","",IF(C19&gt;=Petunjuk!$C$17,Petunjuk!$B$17,IF(C19&gt;=Petunjuk!$C$18,Petunjuk!$B$18,IF(C19&gt;=Petunjuk!$C$19,Petunjuk!$B$19,IF(C19&gt;=Petunjuk!$C$20,Petunjuk!$B$20,Petunjuk!$B$21)))))</f>
        <v/>
      </c>
      <c r="E19" s="26" t="n"/>
    </row>
    <row r="20">
      <c r="B20" s="6" t="inlineStr">
        <is>
          <t>Praktik wudhu &amp; shalat</t>
        </is>
      </c>
      <c r="C20" s="16">
        <f>IFERROR(IF(INDEX(Nilai!$A$4:$R$43,MATCH($C$3,Nilai!$A$4:$A$43,0),10)="","",INDEX(Nilai!$A$4:$R$43,MATCH($C$3,Nilai!$A$4:$A$43,0),10)),"")</f>
        <v/>
      </c>
      <c r="D20" s="6">
        <f>IF(C20="","",IF(C20&gt;=Petunjuk!$C$17,Petunjuk!$B$17,IF(C20&gt;=Petunjuk!$C$18,Petunjuk!$B$18,IF(C20&gt;=Petunjuk!$C$19,Petunjuk!$B$19,IF(C20&gt;=Petunjuk!$C$20,Petunjuk!$B$20,Petunjuk!$B$21)))))</f>
        <v/>
      </c>
      <c r="E20" s="26" t="n"/>
    </row>
    <row r="21">
      <c r="B21" s="6" t="inlineStr">
        <is>
          <t>Menulis huruf Arab</t>
        </is>
      </c>
      <c r="C21" s="16">
        <f>IFERROR(IF(INDEX(Nilai!$A$4:$R$43,MATCH($C$3,Nilai!$A$4:$A$43,0),11)="","",INDEX(Nilai!$A$4:$R$43,MATCH($C$3,Nilai!$A$4:$A$43,0),11)),"")</f>
        <v/>
      </c>
      <c r="D21" s="6">
        <f>IF(C21="","",IF(C21&gt;=Petunjuk!$C$17,Petunjuk!$B$17,IF(C21&gt;=Petunjuk!$C$18,Petunjuk!$B$18,IF(C21&gt;=Petunjuk!$C$19,Petunjuk!$B$19,IF(C21&gt;=Petunjuk!$C$20,Petunjuk!$B$20,Petunjuk!$B$21)))))</f>
        <v/>
      </c>
      <c r="E21" s="26" t="n"/>
    </row>
    <row r="22">
      <c r="B22" s="27" t="inlineStr">
        <is>
          <t>Rata-rata</t>
        </is>
      </c>
      <c r="C22" s="28">
        <f>IFERROR(IF(INDEX(Nilai!$A$4:$R$43,MATCH($C$3,Nilai!$A$4:$A$43,0),12)="","",INDEX(Nilai!$A$4:$R$43,MATCH($C$3,Nilai!$A$4:$A$43,0),12)),"")</f>
        <v/>
      </c>
      <c r="D22" s="27">
        <f>IFERROR(INDEX(Nilai!$A$4:$R$43,MATCH($C$3,Nilai!$A$4:$A$43,0),13)&amp;"","")</f>
        <v/>
      </c>
      <c r="E22" s="29" t="n"/>
    </row>
    <row r="24">
      <c r="B24" s="10" t="inlineStr">
        <is>
          <t>Kehadiran &amp; adab</t>
        </is>
      </c>
    </row>
    <row r="25">
      <c r="B25" s="6" t="inlineStr">
        <is>
          <t>Sakit (hari)</t>
        </is>
      </c>
      <c r="C25" s="16">
        <f>IFERROR(IF(INDEX(Nilai!$A$4:$R$43,MATCH($C$3,Nilai!$A$4:$A$43,0),14)="","",INDEX(Nilai!$A$4:$R$43,MATCH($C$3,Nilai!$A$4:$A$43,0),14)),"")</f>
        <v/>
      </c>
    </row>
    <row r="26">
      <c r="B26" s="6" t="inlineStr">
        <is>
          <t>Izin (hari)</t>
        </is>
      </c>
      <c r="C26" s="16">
        <f>IFERROR(IF(INDEX(Nilai!$A$4:$R$43,MATCH($C$3,Nilai!$A$4:$A$43,0),15)="","",INDEX(Nilai!$A$4:$R$43,MATCH($C$3,Nilai!$A$4:$A$43,0),15)),"")</f>
        <v/>
      </c>
    </row>
    <row r="27">
      <c r="B27" s="6" t="inlineStr">
        <is>
          <t>Alpa (hari)</t>
        </is>
      </c>
      <c r="C27" s="16">
        <f>IFERROR(IF(INDEX(Nilai!$A$4:$R$43,MATCH($C$3,Nilai!$A$4:$A$43,0),16)="","",INDEX(Nilai!$A$4:$R$43,MATCH($C$3,Nilai!$A$4:$A$43,0),16)),"")</f>
        <v/>
      </c>
    </row>
    <row r="28">
      <c r="B28" s="6" t="inlineStr">
        <is>
          <t>Adab</t>
        </is>
      </c>
      <c r="C28" s="16">
        <f>IFERROR(INDEX(Nilai!$A$4:$R$43,MATCH($C$3,Nilai!$A$4:$A$43,0),17)&amp;"","")</f>
        <v/>
      </c>
    </row>
    <row r="30">
      <c r="B30" s="10" t="inlineStr">
        <is>
          <t>Catatan ustadz</t>
        </is>
      </c>
    </row>
    <row r="31" ht="24" customHeight="1">
      <c r="B31" s="30">
        <f>IFERROR(INDEX(Nilai!$A$4:$R$43,MATCH($C$3,Nilai!$A$4:$A$43,0),18)&amp;"","")</f>
        <v/>
      </c>
      <c r="C31" s="26" t="n"/>
      <c r="D31" s="26" t="n"/>
      <c r="E31" s="26" t="n"/>
    </row>
    <row r="32">
      <c r="B32" s="26" t="n"/>
      <c r="C32" s="26" t="n"/>
      <c r="D32" s="26" t="n"/>
      <c r="E32" s="26" t="n"/>
    </row>
    <row r="33">
      <c r="B33" s="26" t="n"/>
      <c r="C33" s="26" t="n"/>
      <c r="D33" s="26" t="n"/>
      <c r="E33" s="26" t="n"/>
    </row>
    <row r="35">
      <c r="E35" s="3">
        <f>Identitas!$C$10</f>
        <v/>
      </c>
    </row>
    <row r="36">
      <c r="B36" s="3" t="inlineStr">
        <is>
          <t>Mengetahui, Kepala TPQ</t>
        </is>
      </c>
      <c r="C36" s="3" t="inlineStr">
        <is>
          <t>Orang tua / wali</t>
        </is>
      </c>
      <c r="E36" s="3" t="inlineStr">
        <is>
          <t>Wali kelas / ustadz</t>
        </is>
      </c>
    </row>
    <row r="37"/>
    <row r="40">
      <c r="B40" s="13">
        <f>Identitas!$C$8</f>
        <v/>
      </c>
      <c r="C40" s="3" t="inlineStr">
        <is>
          <t>(....................)</t>
        </is>
      </c>
      <c r="E40" s="13">
        <f>Identitas!$C$9</f>
        <v/>
      </c>
    </row>
    <row r="42">
      <c r="B42" s="31" t="inlineStr">
        <is>
          <t>Templat gratis dari santrionline.com — rapor otomatis dari setoran harian: santrionline.com/aplikasi-raport-tpq</t>
        </is>
      </c>
    </row>
  </sheetData>
  <mergeCells count="17">
    <mergeCell ref="D20:E20"/>
    <mergeCell ref="D16:E16"/>
    <mergeCell ref="C11:E11"/>
    <mergeCell ref="B31:E33"/>
    <mergeCell ref="D21:E21"/>
    <mergeCell ref="D15:E15"/>
    <mergeCell ref="D19:E19"/>
    <mergeCell ref="B6:E6"/>
    <mergeCell ref="C9:E9"/>
    <mergeCell ref="B7:E7"/>
    <mergeCell ref="D14:E14"/>
    <mergeCell ref="D22:E22"/>
    <mergeCell ref="B5:E5"/>
    <mergeCell ref="D18:E18"/>
    <mergeCell ref="D17:E17"/>
    <mergeCell ref="C12:E12"/>
    <mergeCell ref="C10:E10"/>
  </mergeCells>
  <printOptions horizontalCentered="1"/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2026-09-26T08:09:19Z</dcterms:created>
  <dcterms:modified xmlns:dcterms="http://purl.org/dc/terms/" xmlns:xsi="http://www.w3.org/2001/XMLSchema-instance" xsi:type="dcterms:W3CDTF">2026-09-26T08:09:19Z</dcterms:modified>
</cp:coreProperties>
</file>